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419030-6657-4C70-BA18-0083FC6CCF6E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Clean Data" sheetId="1" r:id="rId1"/>
    <sheet name="Pivot Summary" sheetId="2" r:id="rId2"/>
    <sheet name="Charts" sheetId="3" r:id="rId3"/>
    <sheet name="KPI Dashboard" sheetId="4" r:id="rId4"/>
  </sheets>
  <definedNames>
    <definedName name="_xlnm._FilterDatabase" localSheetId="0" hidden="1">'Clean Data'!$A$2:$J$30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<sst xmlns="http://schemas.openxmlformats.org/spreadsheetml/2006/main" count="424" uniqueCount="200">
  <si>
    <t>✈  JEWAR AIRPORT – REAL ESTATE LEASE LEADS  |  Cleaned Dataset</t>
  </si>
  <si>
    <t>#</t>
  </si>
  <si>
    <t>Full Name</t>
  </si>
  <si>
    <t>Phone Number</t>
  </si>
  <si>
    <t>Email</t>
  </si>
  <si>
    <t>Job Title</t>
  </si>
  <si>
    <t>Profession Category</t>
  </si>
  <si>
    <t>Company/Organization</t>
  </si>
  <si>
    <t>City</t>
  </si>
  <si>
    <t>Platform</t>
  </si>
  <si>
    <t>Lead Type</t>
  </si>
  <si>
    <t>Wic India</t>
  </si>
  <si>
    <t>+919350887274</t>
  </si>
  <si>
    <t>weightechinstruments@yahoo.in</t>
  </si>
  <si>
    <t>Owner/Sole Proprietor</t>
  </si>
  <si>
    <t>Businessman</t>
  </si>
  <si>
    <t>Delhi</t>
  </si>
  <si>
    <t>FB</t>
  </si>
  <si>
    <t>Jewar Airport Real Estate</t>
  </si>
  <si>
    <t>Roshan Gupta 8168369272 Call Me It No</t>
  </si>
  <si>
    <t>+918648012046</t>
  </si>
  <si>
    <t>roshanguptagupta738@gmail.com</t>
  </si>
  <si>
    <t>any</t>
  </si>
  <si>
    <t>Unemployed</t>
  </si>
  <si>
    <t>Individual/Self</t>
  </si>
  <si>
    <t>Bahadurgarh</t>
  </si>
  <si>
    <t>Suraj Singh</t>
  </si>
  <si>
    <t>+918650821352</t>
  </si>
  <si>
    <t>surajmehra865082@gmail.com</t>
  </si>
  <si>
    <t>sales promoter</t>
  </si>
  <si>
    <t>Skilled Worker (Employed)</t>
  </si>
  <si>
    <t>suraj singh</t>
  </si>
  <si>
    <t>uttarakhand</t>
  </si>
  <si>
    <t>Upkar Panchal</t>
  </si>
  <si>
    <t>+919996160814</t>
  </si>
  <si>
    <t>upkars237@gmail.com</t>
  </si>
  <si>
    <t>mechanic</t>
  </si>
  <si>
    <t>him</t>
  </si>
  <si>
    <t>sohna</t>
  </si>
  <si>
    <t>Nadeem Ahmad</t>
  </si>
  <si>
    <t>+919999561065</t>
  </si>
  <si>
    <t>abdul.ahad2018saifi@gmail.com</t>
  </si>
  <si>
    <t>Owner</t>
  </si>
  <si>
    <t>Ghaziabad, India</t>
  </si>
  <si>
    <t>Ghaziabad</t>
  </si>
  <si>
    <t>Natwar Singh</t>
  </si>
  <si>
    <t>+919871365056</t>
  </si>
  <si>
    <t>natwars976@gmail.com</t>
  </si>
  <si>
    <t>Facility Engineer</t>
  </si>
  <si>
    <t>Employed Professional</t>
  </si>
  <si>
    <t>HCLTech</t>
  </si>
  <si>
    <t>Noida</t>
  </si>
  <si>
    <t>Amit Sharma</t>
  </si>
  <si>
    <t>+919811517252</t>
  </si>
  <si>
    <t>auto.amit@gmail.com</t>
  </si>
  <si>
    <t>Coding</t>
  </si>
  <si>
    <t>Auto Parts Manufacturing Company</t>
  </si>
  <si>
    <t>Rohini</t>
  </si>
  <si>
    <t>Jasvinder Singh</t>
  </si>
  <si>
    <t>+919953611076</t>
  </si>
  <si>
    <t>jasvinder2207@rediffmail.com</t>
  </si>
  <si>
    <t>labour job</t>
  </si>
  <si>
    <t>our business</t>
  </si>
  <si>
    <t>Vinod Ghintala Jaat</t>
  </si>
  <si>
    <t>+918696620334</t>
  </si>
  <si>
    <t>vinodkumar28940@gmail.com</t>
  </si>
  <si>
    <t>upl</t>
  </si>
  <si>
    <t>UPL-Ltd</t>
  </si>
  <si>
    <t>Hanumangarh</t>
  </si>
  <si>
    <t>Vincent Precious</t>
  </si>
  <si>
    <t>+918448660322</t>
  </si>
  <si>
    <t>prezama56@gmail.com</t>
  </si>
  <si>
    <t>Student</t>
  </si>
  <si>
    <t>Self-employed</t>
  </si>
  <si>
    <t>Greater Noida</t>
  </si>
  <si>
    <t>Premsingh Rathor</t>
  </si>
  <si>
    <t>+917053230671</t>
  </si>
  <si>
    <t>premsinghrathaur526@gmail.com</t>
  </si>
  <si>
    <t>tool room</t>
  </si>
  <si>
    <t>Gurugram</t>
  </si>
  <si>
    <t>Bipin Kumar Manjhi</t>
  </si>
  <si>
    <t>+919910588547</t>
  </si>
  <si>
    <t>bipinkumarmanjhi78487@gmail.com</t>
  </si>
  <si>
    <t>Account manager</t>
  </si>
  <si>
    <t>Network Marketing Amway Business Owner</t>
  </si>
  <si>
    <t>Mandeep Singh</t>
  </si>
  <si>
    <t>+919711879830</t>
  </si>
  <si>
    <t>msingh@synyel.co.in</t>
  </si>
  <si>
    <t>IT</t>
  </si>
  <si>
    <t>Syntel</t>
  </si>
  <si>
    <t>Er Saurabh Mahura Hardoi</t>
  </si>
  <si>
    <t>+918303916090</t>
  </si>
  <si>
    <t>saurabhkumar41459@gmail.com</t>
  </si>
  <si>
    <t>hhh</t>
  </si>
  <si>
    <t>No school no college but full knowledge</t>
  </si>
  <si>
    <t>Rahul Kumar</t>
  </si>
  <si>
    <t>+919716371500</t>
  </si>
  <si>
    <t>rahulnba.kumar@gmail.com</t>
  </si>
  <si>
    <t>marketing executive</t>
  </si>
  <si>
    <t>Hindustan Unilever Ltd</t>
  </si>
  <si>
    <t>Uttam Mallick</t>
  </si>
  <si>
    <t>+919911422665</t>
  </si>
  <si>
    <t>uttammallick5203@gmail.com</t>
  </si>
  <si>
    <t>Accounts</t>
  </si>
  <si>
    <t>Bajaj Finserv</t>
  </si>
  <si>
    <t>New Delhi</t>
  </si>
  <si>
    <t>Rajesh Mahendru</t>
  </si>
  <si>
    <t>6280805886</t>
  </si>
  <si>
    <t>rajeshmahendru74@gmail.com</t>
  </si>
  <si>
    <t>Owner-operator</t>
  </si>
  <si>
    <t>Dilip Kumar</t>
  </si>
  <si>
    <t>+917209772774</t>
  </si>
  <si>
    <t>dk718763@gmail.com</t>
  </si>
  <si>
    <t>no</t>
  </si>
  <si>
    <t>Patna</t>
  </si>
  <si>
    <t>Dhiraj Singh</t>
  </si>
  <si>
    <t>+918756568801</t>
  </si>
  <si>
    <t>dsp5188@hotmail.com</t>
  </si>
  <si>
    <t>Gorakhpur</t>
  </si>
  <si>
    <t>Surjeet Pratap Singh</t>
  </si>
  <si>
    <t>+919999073405</t>
  </si>
  <si>
    <t>surjeetpratapsingh123@gmail.com</t>
  </si>
  <si>
    <t>designer</t>
  </si>
  <si>
    <t>Sai Printing &amp; Packaging</t>
  </si>
  <si>
    <t>Faridabad</t>
  </si>
  <si>
    <t>Praveen Kumar</t>
  </si>
  <si>
    <t>+919354566703</t>
  </si>
  <si>
    <t>kumarpraveen33253@gmail.com</t>
  </si>
  <si>
    <t>security guard</t>
  </si>
  <si>
    <t>gxo</t>
  </si>
  <si>
    <t>Sarvesh Kaushik</t>
  </si>
  <si>
    <t>+919812330890</t>
  </si>
  <si>
    <t>kaushik.sarvesh@gmail.com</t>
  </si>
  <si>
    <t>Sales &amp; Marketing manager - India &amp; South Asia</t>
  </si>
  <si>
    <t>Dakewe Medical</t>
  </si>
  <si>
    <t>Kuldeep Singh</t>
  </si>
  <si>
    <t>+919818443814</t>
  </si>
  <si>
    <t>kpsinghiac@gmail.com</t>
  </si>
  <si>
    <t>CEO /MD Sensor Automation &amp; Engineers</t>
  </si>
  <si>
    <t>Self-Employed</t>
  </si>
  <si>
    <t>Md Jameel</t>
  </si>
  <si>
    <t>+919596599045</t>
  </si>
  <si>
    <t>mdjameelkhan70604@gmail.com</t>
  </si>
  <si>
    <t>DIGITAL SERVICE CENTER</t>
  </si>
  <si>
    <t>College students</t>
  </si>
  <si>
    <t>KATIHAR</t>
  </si>
  <si>
    <t>Vikash Sah</t>
  </si>
  <si>
    <t>+918581816433</t>
  </si>
  <si>
    <t>kumar.creativevikash92@gmail.com</t>
  </si>
  <si>
    <t>Students</t>
  </si>
  <si>
    <t>Rohit Chaurasiya</t>
  </si>
  <si>
    <t>+919873092349</t>
  </si>
  <si>
    <t>chaurasiyarohit526@gmail.com</t>
  </si>
  <si>
    <t>Technical Machine Operator</t>
  </si>
  <si>
    <t>Hero MotoCorp</t>
  </si>
  <si>
    <t>Arun Kumar</t>
  </si>
  <si>
    <t>+919311444536</t>
  </si>
  <si>
    <t>arunsuranaindia@gmail.com</t>
  </si>
  <si>
    <t>new</t>
  </si>
  <si>
    <t>garments india</t>
  </si>
  <si>
    <t>Sanjeev</t>
  </si>
  <si>
    <t>+919368173358</t>
  </si>
  <si>
    <t>sanjeevkumar58557@gmail.com</t>
  </si>
  <si>
    <t>opretar</t>
  </si>
  <si>
    <t>feshon accessories pvt ltd</t>
  </si>
  <si>
    <t>✈  JEWAR AIRPORT REAL ESTATE – LEAD ANALYTICS PIVOT</t>
  </si>
  <si>
    <t>PIVOT 1: Leads by Profession Category</t>
  </si>
  <si>
    <t>Lead Count</t>
  </si>
  <si>
    <t>% Share</t>
  </si>
  <si>
    <t>Cumulative %</t>
  </si>
  <si>
    <t>17.9%</t>
  </si>
  <si>
    <t>35.7%</t>
  </si>
  <si>
    <t>21.4%</t>
  </si>
  <si>
    <t>7.1%</t>
  </si>
  <si>
    <t>TOTAL</t>
  </si>
  <si>
    <t>100.0%</t>
  </si>
  <si>
    <t>PIVOT 2: Leads by City</t>
  </si>
  <si>
    <t>Rank</t>
  </si>
  <si>
    <t>14.3%</t>
  </si>
  <si>
    <t>3.6%</t>
  </si>
  <si>
    <t>PIVOT 3: City × Profession Category Cross Table</t>
  </si>
  <si>
    <t>-</t>
  </si>
  <si>
    <t>✈  JEWAR AIRPORT – VISUAL ANALYTICS</t>
  </si>
  <si>
    <t>Profession</t>
  </si>
  <si>
    <t>Count</t>
  </si>
  <si>
    <t>✈  JEWAR AIRPORT REAL ESTATE – EXECUTIVE KPI DASHBOARD</t>
  </si>
  <si>
    <t>Total Leads</t>
  </si>
  <si>
    <t>Businessmen</t>
  </si>
  <si>
    <t>Employed Prof.</t>
  </si>
  <si>
    <t>Skilled Workers</t>
  </si>
  <si>
    <t>Cities Covered</t>
  </si>
  <si>
    <t>28</t>
  </si>
  <si>
    <t>5</t>
  </si>
  <si>
    <t>10</t>
  </si>
  <si>
    <t>6</t>
  </si>
  <si>
    <t>2</t>
  </si>
  <si>
    <t>14</t>
  </si>
  <si>
    <t>FB Ads</t>
  </si>
  <si>
    <t>Source: Facebook Lead Ads | Project: Jewar Airport Real Estate | All leads require follow-up verification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</si>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</sst>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10"/>
      <color rgb="FF1A1A1A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FFFFFF"/>
      <name val="Arial"/>
      <charset val="1"/>
    </font>
    <font>
      <b/>
      <sz val="20"/>
      <color rgb="FFFFFFFF"/>
      <name val="Arial"/>
      <charset val="1"/>
    </font>
    <font>
      <sz val="9"/>
      <color rgb="FF555555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1A1A1A"/>
      </patternFill>
    </fill>
    <fill>
      <patternFill patternType="solid">
        <fgColor rgb="FFFFFFFF"/>
        <bgColor rgb="FFF9F9F9"/>
      </patternFill>
    </fill>
    <fill>
      <patternFill patternType="solid">
        <fgColor rgb="FFF5F7FA"/>
        <bgColor rgb="FFF9F9F9"/>
      </patternFill>
    </fill>
    <fill>
      <patternFill patternType="solid">
        <fgColor rgb="FFC9A84C"/>
        <bgColor rgb="FF9BBB59"/>
      </patternFill>
    </fill>
    <fill>
      <patternFill patternType="solid">
        <fgColor rgb="FFD6E8F7"/>
        <bgColor rgb="FFD9D9D9"/>
      </patternFill>
    </fill>
    <fill>
      <patternFill patternType="solid">
        <fgColor rgb="FF2E7D32"/>
        <bgColor rgb="FF008000"/>
      </patternFill>
    </fill>
    <fill>
      <patternFill patternType="solid">
        <fgColor rgb="FFE07B39"/>
        <bgColor rgb="FFFF6600"/>
      </patternFill>
    </fill>
    <fill>
      <patternFill patternType="solid">
        <fgColor rgb="FF7B5EA7"/>
        <bgColor rgb="FF8064A2"/>
      </patternFill>
    </fill>
    <fill>
      <patternFill patternType="solid">
        <fgColor rgb="FF0097A7"/>
        <bgColor rgb="FF008080"/>
      </patternFill>
    </fill>
    <fill>
      <patternFill patternType="solid">
        <fgColor rgb="FFC62828"/>
        <bgColor rgb="FFC0504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0" fillId="4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7A7"/>
      <rgbColor rgb="FFCCCCCC"/>
      <rgbColor rgb="FF878787"/>
      <rgbColor rgb="FF9999FF"/>
      <rgbColor rgb="FFC0504D"/>
      <rgbColor rgb="FFF9F9F9"/>
      <rgbColor rgb="FFD6E8F7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7B5EA7"/>
      <rgbColor rgb="FFC9A84C"/>
      <rgbColor rgb="FF1A3A5C"/>
      <rgbColor rgb="FF2E7D32"/>
      <rgbColor rgb="FF003300"/>
      <rgbColor rgb="FF333300"/>
      <rgbColor rgb="FFC62828"/>
      <rgbColor rgb="FF8064A2"/>
      <rgbColor rgb="FF555555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Leads by Profession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Businessman</c:v>
                </c:pt>
                <c:pt idx="1">
                  <c:v>Employed Professional</c:v>
                </c:pt>
                <c:pt idx="2">
                  <c:v>Skilled Worker (Employed)</c:v>
                </c:pt>
                <c:pt idx="3">
                  <c:v>Student</c:v>
                </c:pt>
                <c:pt idx="4">
                  <c:v>Unemployed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9-4DA3-9AC8-28A6E7626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75465"/>
        <c:axId val="55542141"/>
      </c:barChart>
      <c:catAx>
        <c:axId val="54675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42141"/>
        <c:crosses val="autoZero"/>
        <c:auto val="1"/>
        <c:lblAlgn val="ctr"/>
        <c:lblOffset val="100"/>
        <c:noMultiLvlLbl val="0"/>
      </c:catAx>
      <c:valAx>
        <c:axId val="55542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675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Charts!$H$4:$H$17</c:f>
              <c:strCache>
                <c:ptCount val="14"/>
                <c:pt idx="0">
                  <c:v>Bahadurgarh</c:v>
                </c:pt>
                <c:pt idx="1">
                  <c:v>Delhi</c:v>
                </c:pt>
                <c:pt idx="2">
                  <c:v>Faridabad</c:v>
                </c:pt>
                <c:pt idx="3">
                  <c:v>Ghaziabad</c:v>
                </c:pt>
                <c:pt idx="4">
                  <c:v>Greater Noida</c:v>
                </c:pt>
                <c:pt idx="5">
                  <c:v>Gurugram</c:v>
                </c:pt>
                <c:pt idx="6">
                  <c:v>Hanumangarh</c:v>
                </c:pt>
                <c:pt idx="7">
                  <c:v>KATIHAR</c:v>
                </c:pt>
                <c:pt idx="8">
                  <c:v>New Delhi</c:v>
                </c:pt>
                <c:pt idx="9">
                  <c:v>Noida</c:v>
                </c:pt>
                <c:pt idx="10">
                  <c:v>Patna</c:v>
                </c:pt>
                <c:pt idx="11">
                  <c:v>Rohini</c:v>
                </c:pt>
                <c:pt idx="12">
                  <c:v>sohna</c:v>
                </c:pt>
                <c:pt idx="13">
                  <c:v>uttarakhand</c:v>
                </c:pt>
              </c:strCache>
            </c:strRef>
          </c:cat>
          <c:val>
            <c:numRef>
              <c:f>Charts!$I$4:$I$17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F-46FB-8B2D-F47BCDD63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09854"/>
        <c:axId val="24301081"/>
      </c:barChart>
      <c:catAx>
        <c:axId val="159098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301081"/>
        <c:crosses val="autoZero"/>
        <c:auto val="1"/>
        <c:lblAlgn val="ctr"/>
        <c:lblOffset val="100"/>
        <c:noMultiLvlLbl val="0"/>
      </c:catAx>
      <c:valAx>
        <c:axId val="243010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09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Profession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560-4C96-A0D2-F1EF8C2D9D6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560-4C96-A0D2-F1EF8C2D9D6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560-4C96-A0D2-F1EF8C2D9D6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560-4C96-A0D2-F1EF8C2D9D6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560-4C96-A0D2-F1EF8C2D9D6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560-4C96-A0D2-F1EF8C2D9D6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560-4C96-A0D2-F1EF8C2D9D6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560-4C96-A0D2-F1EF8C2D9D65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560-4C96-A0D2-F1EF8C2D9D65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7560-4C96-A0D2-F1EF8C2D9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Charts!$A$4:$A$8</c:f>
              <c:strCache>
                <c:ptCount val="5"/>
                <c:pt idx="0">
                  <c:v>Businessman</c:v>
                </c:pt>
                <c:pt idx="1">
                  <c:v>Employed Professional</c:v>
                </c:pt>
                <c:pt idx="2">
                  <c:v>Skilled Worker (Employed)</c:v>
                </c:pt>
                <c:pt idx="3">
                  <c:v>Student</c:v>
                </c:pt>
                <c:pt idx="4">
                  <c:v>Unemployed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60-4C96-A0D2-F1EF8C2D9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14</xdr:col>
      <xdr:colOff>301320</xdr:colOff>
      <xdr:row>28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21</xdr:row>
      <xdr:rowOff>0</xdr:rowOff>
    </xdr:from>
    <xdr:to>
      <xdr:col>14</xdr:col>
      <xdr:colOff>301320</xdr:colOff>
      <xdr:row>47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</xdr:row>
      <xdr:rowOff>0</xdr:rowOff>
    </xdr:from>
    <xdr:to>
      <xdr:col>23</xdr:col>
      <xdr:colOff>364680</xdr:colOff>
      <xdr:row>28</xdr:row>
      <xdr:rowOff>86400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zoomScaleNormal="100" workbookViewId="0">
      <pane ySplit="2" topLeftCell="A3" activePane="bottomLeft" state="frozen"/>
      <selection pane="bottomLeft" activeCell="G4" sqref="G4"/>
    </sheetView>
  </sheetViews>
  <sheetFormatPr defaultColWidth="8.7109375" defaultRowHeight="15" x14ac:dyDescent="0.25"/>
  <cols>
    <col min="1" max="1" width="4" customWidth="1"/>
    <col min="2" max="2" width="22" customWidth="1"/>
    <col min="3" max="3" width="16" customWidth="1"/>
    <col min="4" max="4" width="28" customWidth="1"/>
    <col min="5" max="5" width="22" customWidth="1"/>
    <col min="6" max="6" width="20" customWidth="1"/>
    <col min="7" max="7" width="25" customWidth="1"/>
    <col min="8" max="8" width="14" customWidth="1"/>
    <col min="9" max="9" width="10" customWidth="1"/>
    <col min="10" max="10" width="22" customWidth="1"/>
  </cols>
  <sheetData>
    <row r="1" spans="1:10" ht="31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7.7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8" customHeight="1" x14ac:dyDescent="0.25">
      <c r="A3" s="6">
        <v>1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199</v>
      </c>
      <c r="H3" s="7" t="s">
        <v>16</v>
      </c>
      <c r="I3" s="6" t="s">
        <v>17</v>
      </c>
      <c r="J3" s="7" t="s">
        <v>18</v>
      </c>
    </row>
    <row r="4" spans="1:10" ht="18" customHeight="1" x14ac:dyDescent="0.25">
      <c r="A4" s="8">
        <v>2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8" t="s">
        <v>17</v>
      </c>
      <c r="J4" s="9" t="s">
        <v>18</v>
      </c>
    </row>
    <row r="5" spans="1:10" ht="18" customHeight="1" x14ac:dyDescent="0.25">
      <c r="A5" s="6">
        <v>3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6" t="s">
        <v>17</v>
      </c>
      <c r="J5" s="7" t="s">
        <v>18</v>
      </c>
    </row>
    <row r="6" spans="1:10" ht="18" customHeight="1" x14ac:dyDescent="0.25">
      <c r="A6" s="8">
        <v>4</v>
      </c>
      <c r="B6" s="9" t="s">
        <v>33</v>
      </c>
      <c r="C6" s="9" t="s">
        <v>34</v>
      </c>
      <c r="D6" s="9" t="s">
        <v>35</v>
      </c>
      <c r="E6" s="9" t="s">
        <v>36</v>
      </c>
      <c r="F6" s="9" t="s">
        <v>30</v>
      </c>
      <c r="G6" s="9" t="s">
        <v>37</v>
      </c>
      <c r="H6" s="9" t="s">
        <v>38</v>
      </c>
      <c r="I6" s="8" t="s">
        <v>17</v>
      </c>
      <c r="J6" s="9" t="s">
        <v>18</v>
      </c>
    </row>
    <row r="7" spans="1:10" ht="18" customHeight="1" x14ac:dyDescent="0.25">
      <c r="A7" s="6">
        <v>5</v>
      </c>
      <c r="B7" s="7" t="s">
        <v>39</v>
      </c>
      <c r="C7" s="7" t="s">
        <v>40</v>
      </c>
      <c r="D7" s="7" t="s">
        <v>41</v>
      </c>
      <c r="E7" s="7" t="s">
        <v>42</v>
      </c>
      <c r="F7" s="7" t="s">
        <v>15</v>
      </c>
      <c r="G7" s="7" t="s">
        <v>43</v>
      </c>
      <c r="H7" s="7" t="s">
        <v>44</v>
      </c>
      <c r="I7" s="6" t="s">
        <v>17</v>
      </c>
      <c r="J7" s="7" t="s">
        <v>18</v>
      </c>
    </row>
    <row r="8" spans="1:10" ht="18" customHeight="1" x14ac:dyDescent="0.25">
      <c r="A8" s="8">
        <v>6</v>
      </c>
      <c r="B8" s="9" t="s">
        <v>45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H8" s="9" t="s">
        <v>51</v>
      </c>
      <c r="I8" s="8" t="s">
        <v>17</v>
      </c>
      <c r="J8" s="9" t="s">
        <v>18</v>
      </c>
    </row>
    <row r="9" spans="1:10" ht="18" customHeight="1" x14ac:dyDescent="0.25">
      <c r="A9" s="6">
        <v>7</v>
      </c>
      <c r="B9" s="7" t="s">
        <v>52</v>
      </c>
      <c r="C9" s="7" t="s">
        <v>53</v>
      </c>
      <c r="D9" s="7" t="s">
        <v>54</v>
      </c>
      <c r="E9" s="7" t="s">
        <v>55</v>
      </c>
      <c r="F9" s="7" t="s">
        <v>49</v>
      </c>
      <c r="G9" s="7" t="s">
        <v>56</v>
      </c>
      <c r="H9" s="7" t="s">
        <v>57</v>
      </c>
      <c r="I9" s="6" t="s">
        <v>17</v>
      </c>
      <c r="J9" s="7" t="s">
        <v>18</v>
      </c>
    </row>
    <row r="10" spans="1:10" ht="18" customHeight="1" x14ac:dyDescent="0.25">
      <c r="A10" s="8">
        <v>8</v>
      </c>
      <c r="B10" s="9" t="s">
        <v>58</v>
      </c>
      <c r="C10" s="9" t="s">
        <v>59</v>
      </c>
      <c r="D10" s="9" t="s">
        <v>60</v>
      </c>
      <c r="E10" s="9" t="s">
        <v>61</v>
      </c>
      <c r="F10" s="9" t="s">
        <v>30</v>
      </c>
      <c r="G10" s="9" t="s">
        <v>62</v>
      </c>
      <c r="H10" s="9" t="s">
        <v>16</v>
      </c>
      <c r="I10" s="8" t="s">
        <v>17</v>
      </c>
      <c r="J10" s="9" t="s">
        <v>18</v>
      </c>
    </row>
    <row r="11" spans="1:10" ht="18" customHeight="1" x14ac:dyDescent="0.25">
      <c r="A11" s="6">
        <v>9</v>
      </c>
      <c r="B11" s="7" t="s">
        <v>63</v>
      </c>
      <c r="C11" s="7" t="s">
        <v>64</v>
      </c>
      <c r="D11" s="7" t="s">
        <v>65</v>
      </c>
      <c r="E11" s="7" t="s">
        <v>66</v>
      </c>
      <c r="F11" s="7" t="s">
        <v>49</v>
      </c>
      <c r="G11" s="7" t="s">
        <v>67</v>
      </c>
      <c r="H11" s="7" t="s">
        <v>68</v>
      </c>
      <c r="I11" s="6" t="s">
        <v>17</v>
      </c>
      <c r="J11" s="7" t="s">
        <v>18</v>
      </c>
    </row>
    <row r="12" spans="1:10" ht="18" customHeight="1" x14ac:dyDescent="0.25">
      <c r="A12" s="8">
        <v>10</v>
      </c>
      <c r="B12" s="9" t="s">
        <v>69</v>
      </c>
      <c r="C12" s="9" t="s">
        <v>70</v>
      </c>
      <c r="D12" s="9" t="s">
        <v>71</v>
      </c>
      <c r="E12" s="9" t="s">
        <v>72</v>
      </c>
      <c r="F12" s="9" t="s">
        <v>72</v>
      </c>
      <c r="G12" s="9" t="s">
        <v>73</v>
      </c>
      <c r="H12" s="9" t="s">
        <v>74</v>
      </c>
      <c r="I12" s="8" t="s">
        <v>17</v>
      </c>
      <c r="J12" s="9" t="s">
        <v>18</v>
      </c>
    </row>
    <row r="13" spans="1:10" ht="18" customHeight="1" x14ac:dyDescent="0.25">
      <c r="A13" s="6">
        <v>11</v>
      </c>
      <c r="B13" s="7" t="s">
        <v>75</v>
      </c>
      <c r="C13" s="7" t="s">
        <v>76</v>
      </c>
      <c r="D13" s="7" t="s">
        <v>77</v>
      </c>
      <c r="E13" s="7" t="s">
        <v>78</v>
      </c>
      <c r="F13" s="7" t="s">
        <v>30</v>
      </c>
      <c r="G13" s="7" t="s">
        <v>24</v>
      </c>
      <c r="H13" s="7" t="s">
        <v>79</v>
      </c>
      <c r="I13" s="6" t="s">
        <v>17</v>
      </c>
      <c r="J13" s="7" t="s">
        <v>18</v>
      </c>
    </row>
    <row r="14" spans="1:10" ht="18" customHeight="1" x14ac:dyDescent="0.25">
      <c r="A14" s="8">
        <v>12</v>
      </c>
      <c r="B14" s="9" t="s">
        <v>80</v>
      </c>
      <c r="C14" s="9" t="s">
        <v>81</v>
      </c>
      <c r="D14" s="9" t="s">
        <v>82</v>
      </c>
      <c r="E14" s="9" t="s">
        <v>83</v>
      </c>
      <c r="F14" s="9" t="s">
        <v>49</v>
      </c>
      <c r="G14" s="9" t="s">
        <v>84</v>
      </c>
      <c r="H14" s="9" t="s">
        <v>79</v>
      </c>
      <c r="I14" s="8" t="s">
        <v>17</v>
      </c>
      <c r="J14" s="9" t="s">
        <v>18</v>
      </c>
    </row>
    <row r="15" spans="1:10" ht="18" customHeight="1" x14ac:dyDescent="0.25">
      <c r="A15" s="6">
        <v>13</v>
      </c>
      <c r="B15" s="7" t="s">
        <v>85</v>
      </c>
      <c r="C15" s="7" t="s">
        <v>86</v>
      </c>
      <c r="D15" s="7" t="s">
        <v>87</v>
      </c>
      <c r="E15" s="7" t="s">
        <v>88</v>
      </c>
      <c r="F15" s="7" t="s">
        <v>49</v>
      </c>
      <c r="G15" s="7" t="s">
        <v>89</v>
      </c>
      <c r="H15" s="7" t="s">
        <v>44</v>
      </c>
      <c r="I15" s="6" t="s">
        <v>17</v>
      </c>
      <c r="J15" s="7" t="s">
        <v>18</v>
      </c>
    </row>
    <row r="16" spans="1:10" ht="18" customHeight="1" x14ac:dyDescent="0.25">
      <c r="A16" s="8">
        <v>14</v>
      </c>
      <c r="B16" s="9" t="s">
        <v>90</v>
      </c>
      <c r="C16" s="9" t="s">
        <v>91</v>
      </c>
      <c r="D16" s="9" t="s">
        <v>92</v>
      </c>
      <c r="E16" s="9" t="s">
        <v>93</v>
      </c>
      <c r="F16" s="9" t="s">
        <v>23</v>
      </c>
      <c r="G16" s="9" t="s">
        <v>94</v>
      </c>
      <c r="H16" s="9" t="s">
        <v>44</v>
      </c>
      <c r="I16" s="8" t="s">
        <v>17</v>
      </c>
      <c r="J16" s="9" t="s">
        <v>18</v>
      </c>
    </row>
    <row r="17" spans="1:10" ht="18" customHeight="1" x14ac:dyDescent="0.25">
      <c r="A17" s="6">
        <v>15</v>
      </c>
      <c r="B17" s="7" t="s">
        <v>95</v>
      </c>
      <c r="C17" s="7" t="s">
        <v>96</v>
      </c>
      <c r="D17" s="7" t="s">
        <v>97</v>
      </c>
      <c r="E17" s="7" t="s">
        <v>98</v>
      </c>
      <c r="F17" s="7" t="s">
        <v>49</v>
      </c>
      <c r="G17" s="7" t="s">
        <v>99</v>
      </c>
      <c r="H17" s="7" t="s">
        <v>16</v>
      </c>
      <c r="I17" s="6" t="s">
        <v>17</v>
      </c>
      <c r="J17" s="7" t="s">
        <v>18</v>
      </c>
    </row>
    <row r="18" spans="1:10" ht="18" customHeight="1" x14ac:dyDescent="0.25">
      <c r="A18" s="8">
        <v>16</v>
      </c>
      <c r="B18" s="9" t="s">
        <v>100</v>
      </c>
      <c r="C18" s="9" t="s">
        <v>101</v>
      </c>
      <c r="D18" s="9" t="s">
        <v>102</v>
      </c>
      <c r="E18" s="9" t="s">
        <v>103</v>
      </c>
      <c r="F18" s="9" t="s">
        <v>49</v>
      </c>
      <c r="G18" s="9" t="s">
        <v>104</v>
      </c>
      <c r="H18" s="9" t="s">
        <v>105</v>
      </c>
      <c r="I18" s="8" t="s">
        <v>17</v>
      </c>
      <c r="J18" s="9" t="s">
        <v>18</v>
      </c>
    </row>
    <row r="19" spans="1:10" ht="18" customHeight="1" x14ac:dyDescent="0.25">
      <c r="A19" s="6">
        <v>17</v>
      </c>
      <c r="B19" s="7" t="s">
        <v>106</v>
      </c>
      <c r="C19" s="7" t="s">
        <v>107</v>
      </c>
      <c r="D19" s="7" t="s">
        <v>108</v>
      </c>
      <c r="E19" s="7" t="s">
        <v>109</v>
      </c>
      <c r="F19" s="7" t="s">
        <v>15</v>
      </c>
      <c r="G19" s="7" t="s">
        <v>73</v>
      </c>
      <c r="H19" s="7" t="s">
        <v>105</v>
      </c>
      <c r="I19" s="6" t="s">
        <v>17</v>
      </c>
      <c r="J19" s="7" t="s">
        <v>18</v>
      </c>
    </row>
    <row r="20" spans="1:10" ht="18" customHeight="1" x14ac:dyDescent="0.25">
      <c r="A20" s="8">
        <v>18</v>
      </c>
      <c r="B20" s="9" t="s">
        <v>110</v>
      </c>
      <c r="C20" s="9" t="s">
        <v>111</v>
      </c>
      <c r="D20" s="9" t="s">
        <v>112</v>
      </c>
      <c r="E20" s="9" t="s">
        <v>113</v>
      </c>
      <c r="F20" s="9" t="s">
        <v>23</v>
      </c>
      <c r="G20" s="9" t="s">
        <v>24</v>
      </c>
      <c r="H20" s="9" t="s">
        <v>114</v>
      </c>
      <c r="I20" s="8" t="s">
        <v>17</v>
      </c>
      <c r="J20" s="9" t="s">
        <v>18</v>
      </c>
    </row>
    <row r="21" spans="1:10" ht="18" customHeight="1" x14ac:dyDescent="0.25">
      <c r="A21" s="6">
        <v>19</v>
      </c>
      <c r="B21" s="7" t="s">
        <v>115</v>
      </c>
      <c r="C21" s="7" t="s">
        <v>116</v>
      </c>
      <c r="D21" s="7" t="s">
        <v>117</v>
      </c>
      <c r="E21" s="7" t="s">
        <v>113</v>
      </c>
      <c r="F21" s="7" t="s">
        <v>23</v>
      </c>
      <c r="G21" s="7" t="s">
        <v>118</v>
      </c>
      <c r="H21" s="7" t="s">
        <v>44</v>
      </c>
      <c r="I21" s="6" t="s">
        <v>17</v>
      </c>
      <c r="J21" s="7" t="s">
        <v>18</v>
      </c>
    </row>
    <row r="22" spans="1:10" ht="18" customHeight="1" x14ac:dyDescent="0.25">
      <c r="A22" s="8">
        <v>20</v>
      </c>
      <c r="B22" s="9" t="s">
        <v>119</v>
      </c>
      <c r="C22" s="9" t="s">
        <v>120</v>
      </c>
      <c r="D22" s="9" t="s">
        <v>121</v>
      </c>
      <c r="E22" s="9" t="s">
        <v>122</v>
      </c>
      <c r="F22" s="9" t="s">
        <v>49</v>
      </c>
      <c r="G22" s="9" t="s">
        <v>123</v>
      </c>
      <c r="H22" s="9" t="s">
        <v>124</v>
      </c>
      <c r="I22" s="8" t="s">
        <v>17</v>
      </c>
      <c r="J22" s="9" t="s">
        <v>18</v>
      </c>
    </row>
    <row r="23" spans="1:10" ht="18" customHeight="1" x14ac:dyDescent="0.25">
      <c r="A23" s="6">
        <v>21</v>
      </c>
      <c r="B23" s="7" t="s">
        <v>125</v>
      </c>
      <c r="C23" s="7" t="s">
        <v>126</v>
      </c>
      <c r="D23" s="7" t="s">
        <v>127</v>
      </c>
      <c r="E23" s="7" t="s">
        <v>128</v>
      </c>
      <c r="F23" s="7" t="s">
        <v>30</v>
      </c>
      <c r="G23" s="7" t="s">
        <v>129</v>
      </c>
      <c r="H23" s="7" t="s">
        <v>51</v>
      </c>
      <c r="I23" s="6" t="s">
        <v>17</v>
      </c>
      <c r="J23" s="7" t="s">
        <v>18</v>
      </c>
    </row>
    <row r="24" spans="1:10" ht="18" customHeight="1" x14ac:dyDescent="0.25">
      <c r="A24" s="8">
        <v>22</v>
      </c>
      <c r="B24" s="9" t="s">
        <v>130</v>
      </c>
      <c r="C24" s="9" t="s">
        <v>131</v>
      </c>
      <c r="D24" s="9" t="s">
        <v>132</v>
      </c>
      <c r="E24" s="9" t="s">
        <v>133</v>
      </c>
      <c r="F24" s="9" t="s">
        <v>49</v>
      </c>
      <c r="G24" s="9" t="s">
        <v>134</v>
      </c>
      <c r="H24" s="9" t="s">
        <v>25</v>
      </c>
      <c r="I24" s="8" t="s">
        <v>17</v>
      </c>
      <c r="J24" s="9" t="s">
        <v>18</v>
      </c>
    </row>
    <row r="25" spans="1:10" ht="18" customHeight="1" x14ac:dyDescent="0.25">
      <c r="A25" s="6">
        <v>23</v>
      </c>
      <c r="B25" s="7" t="s">
        <v>135</v>
      </c>
      <c r="C25" s="7" t="s">
        <v>136</v>
      </c>
      <c r="D25" s="7" t="s">
        <v>137</v>
      </c>
      <c r="E25" s="7" t="s">
        <v>138</v>
      </c>
      <c r="F25" s="7" t="s">
        <v>15</v>
      </c>
      <c r="G25" s="7" t="s">
        <v>139</v>
      </c>
      <c r="H25" s="7" t="s">
        <v>16</v>
      </c>
      <c r="I25" s="6" t="s">
        <v>17</v>
      </c>
      <c r="J25" s="7" t="s">
        <v>18</v>
      </c>
    </row>
    <row r="26" spans="1:10" ht="18" customHeight="1" x14ac:dyDescent="0.25">
      <c r="A26" s="8">
        <v>24</v>
      </c>
      <c r="B26" s="9" t="s">
        <v>140</v>
      </c>
      <c r="C26" s="9" t="s">
        <v>141</v>
      </c>
      <c r="D26" s="9" t="s">
        <v>142</v>
      </c>
      <c r="E26" s="9" t="s">
        <v>143</v>
      </c>
      <c r="F26" s="9" t="s">
        <v>49</v>
      </c>
      <c r="G26" s="9" t="s">
        <v>144</v>
      </c>
      <c r="H26" s="9" t="s">
        <v>145</v>
      </c>
      <c r="I26" s="8" t="s">
        <v>17</v>
      </c>
      <c r="J26" s="9" t="s">
        <v>18</v>
      </c>
    </row>
    <row r="27" spans="1:10" ht="18" customHeight="1" x14ac:dyDescent="0.25">
      <c r="A27" s="6">
        <v>25</v>
      </c>
      <c r="B27" s="7" t="s">
        <v>146</v>
      </c>
      <c r="C27" s="7" t="s">
        <v>147</v>
      </c>
      <c r="D27" s="7" t="s">
        <v>148</v>
      </c>
      <c r="E27" s="7" t="s">
        <v>149</v>
      </c>
      <c r="F27" s="7" t="s">
        <v>72</v>
      </c>
      <c r="G27" s="7" t="s">
        <v>24</v>
      </c>
      <c r="H27" s="7" t="s">
        <v>79</v>
      </c>
      <c r="I27" s="6" t="s">
        <v>17</v>
      </c>
      <c r="J27" s="7" t="s">
        <v>18</v>
      </c>
    </row>
    <row r="28" spans="1:10" ht="18" customHeight="1" x14ac:dyDescent="0.25">
      <c r="A28" s="8">
        <v>26</v>
      </c>
      <c r="B28" s="9" t="s">
        <v>150</v>
      </c>
      <c r="C28" s="9" t="s">
        <v>151</v>
      </c>
      <c r="D28" s="9" t="s">
        <v>152</v>
      </c>
      <c r="E28" s="9" t="s">
        <v>153</v>
      </c>
      <c r="F28" s="9" t="s">
        <v>15</v>
      </c>
      <c r="G28" s="9" t="s">
        <v>154</v>
      </c>
      <c r="H28" s="9" t="s">
        <v>105</v>
      </c>
      <c r="I28" s="8" t="s">
        <v>17</v>
      </c>
      <c r="J28" s="9" t="s">
        <v>18</v>
      </c>
    </row>
    <row r="29" spans="1:10" ht="18" customHeight="1" x14ac:dyDescent="0.25">
      <c r="A29" s="6">
        <v>27</v>
      </c>
      <c r="B29" s="7" t="s">
        <v>155</v>
      </c>
      <c r="C29" s="7" t="s">
        <v>156</v>
      </c>
      <c r="D29" s="7" t="s">
        <v>157</v>
      </c>
      <c r="E29" s="7" t="s">
        <v>158</v>
      </c>
      <c r="F29" s="7" t="s">
        <v>23</v>
      </c>
      <c r="G29" s="7" t="s">
        <v>159</v>
      </c>
      <c r="H29" s="7" t="s">
        <v>105</v>
      </c>
      <c r="I29" s="6" t="s">
        <v>17</v>
      </c>
      <c r="J29" s="7" t="s">
        <v>18</v>
      </c>
    </row>
    <row r="30" spans="1:10" ht="18" customHeight="1" x14ac:dyDescent="0.25">
      <c r="A30" s="8">
        <v>28</v>
      </c>
      <c r="B30" s="9" t="s">
        <v>160</v>
      </c>
      <c r="C30" s="9" t="s">
        <v>161</v>
      </c>
      <c r="D30" s="9" t="s">
        <v>162</v>
      </c>
      <c r="E30" s="9" t="s">
        <v>163</v>
      </c>
      <c r="F30" s="9" t="s">
        <v>30</v>
      </c>
      <c r="G30" s="9" t="s">
        <v>164</v>
      </c>
      <c r="H30" s="9" t="s">
        <v>79</v>
      </c>
      <c r="I30" s="8" t="s">
        <v>17</v>
      </c>
      <c r="J30" s="9" t="s">
        <v>18</v>
      </c>
    </row>
  </sheetData>
  <autoFilter ref="A2:J30" xr:uid="{00000000-0009-0000-0000-000000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zoomScaleNormal="100" workbookViewId="0">
      <selection sqref="A1:H1"/>
    </sheetView>
  </sheetViews>
  <sheetFormatPr defaultColWidth="8.7109375" defaultRowHeight="15" x14ac:dyDescent="0.25"/>
  <cols>
    <col min="1" max="8" width="22" customWidth="1"/>
  </cols>
  <sheetData>
    <row r="1" spans="1:8" ht="31.5" customHeight="1" x14ac:dyDescent="0.25">
      <c r="A1" s="4" t="s">
        <v>165</v>
      </c>
      <c r="B1" s="4"/>
      <c r="C1" s="4"/>
      <c r="D1" s="4"/>
      <c r="E1" s="4"/>
      <c r="F1" s="4"/>
      <c r="G1" s="4"/>
      <c r="H1" s="4"/>
    </row>
    <row r="3" spans="1:8" ht="15" customHeight="1" x14ac:dyDescent="0.25">
      <c r="A3" s="3" t="s">
        <v>166</v>
      </c>
      <c r="B3" s="3"/>
      <c r="C3" s="3"/>
      <c r="D3" s="3"/>
    </row>
    <row r="4" spans="1:8" x14ac:dyDescent="0.25">
      <c r="A4" s="10" t="s">
        <v>6</v>
      </c>
      <c r="B4" s="10" t="s">
        <v>167</v>
      </c>
      <c r="C4" s="10" t="s">
        <v>168</v>
      </c>
      <c r="D4" s="10" t="s">
        <v>169</v>
      </c>
    </row>
    <row r="5" spans="1:8" x14ac:dyDescent="0.25">
      <c r="A5" s="11" t="s">
        <v>15</v>
      </c>
      <c r="B5" s="12">
        <v>5</v>
      </c>
      <c r="C5" s="11" t="s">
        <v>170</v>
      </c>
      <c r="D5" s="13"/>
    </row>
    <row r="6" spans="1:8" x14ac:dyDescent="0.25">
      <c r="A6" s="14" t="s">
        <v>49</v>
      </c>
      <c r="B6" s="15">
        <v>10</v>
      </c>
      <c r="C6" s="14" t="s">
        <v>171</v>
      </c>
      <c r="D6" s="16"/>
    </row>
    <row r="7" spans="1:8" x14ac:dyDescent="0.25">
      <c r="A7" s="11" t="s">
        <v>30</v>
      </c>
      <c r="B7" s="12">
        <v>6</v>
      </c>
      <c r="C7" s="11" t="s">
        <v>172</v>
      </c>
      <c r="D7" s="13"/>
    </row>
    <row r="8" spans="1:8" x14ac:dyDescent="0.25">
      <c r="A8" s="14" t="s">
        <v>72</v>
      </c>
      <c r="B8" s="15">
        <v>2</v>
      </c>
      <c r="C8" s="14" t="s">
        <v>173</v>
      </c>
      <c r="D8" s="16"/>
    </row>
    <row r="9" spans="1:8" x14ac:dyDescent="0.25">
      <c r="A9" s="11" t="s">
        <v>23</v>
      </c>
      <c r="B9" s="12">
        <v>5</v>
      </c>
      <c r="C9" s="11" t="s">
        <v>170</v>
      </c>
      <c r="D9" s="13"/>
    </row>
    <row r="10" spans="1:8" x14ac:dyDescent="0.25">
      <c r="A10" s="17" t="s">
        <v>174</v>
      </c>
      <c r="B10" s="17">
        <f>SUM(B5:B9)</f>
        <v>28</v>
      </c>
      <c r="C10" s="17" t="s">
        <v>175</v>
      </c>
      <c r="D10" s="18"/>
    </row>
    <row r="13" spans="1:8" ht="15" customHeight="1" x14ac:dyDescent="0.25">
      <c r="A13" s="3" t="s">
        <v>176</v>
      </c>
      <c r="B13" s="3"/>
      <c r="C13" s="3"/>
      <c r="D13" s="3"/>
    </row>
    <row r="14" spans="1:8" x14ac:dyDescent="0.25">
      <c r="A14" s="10" t="s">
        <v>8</v>
      </c>
      <c r="B14" s="10" t="s">
        <v>167</v>
      </c>
      <c r="C14" s="10" t="s">
        <v>168</v>
      </c>
      <c r="D14" s="10" t="s">
        <v>177</v>
      </c>
    </row>
    <row r="15" spans="1:8" x14ac:dyDescent="0.25">
      <c r="A15" s="11" t="s">
        <v>16</v>
      </c>
      <c r="B15" s="12">
        <v>4</v>
      </c>
      <c r="C15" s="11" t="s">
        <v>178</v>
      </c>
      <c r="D15" s="11">
        <v>1</v>
      </c>
    </row>
    <row r="16" spans="1:8" x14ac:dyDescent="0.25">
      <c r="A16" s="14" t="s">
        <v>44</v>
      </c>
      <c r="B16" s="15">
        <v>4</v>
      </c>
      <c r="C16" s="14" t="s">
        <v>178</v>
      </c>
      <c r="D16" s="14">
        <v>2</v>
      </c>
    </row>
    <row r="17" spans="1:8" x14ac:dyDescent="0.25">
      <c r="A17" s="11" t="s">
        <v>79</v>
      </c>
      <c r="B17" s="12">
        <v>4</v>
      </c>
      <c r="C17" s="11" t="s">
        <v>178</v>
      </c>
      <c r="D17" s="11">
        <v>3</v>
      </c>
    </row>
    <row r="18" spans="1:8" x14ac:dyDescent="0.25">
      <c r="A18" s="14" t="s">
        <v>105</v>
      </c>
      <c r="B18" s="15">
        <v>4</v>
      </c>
      <c r="C18" s="14" t="s">
        <v>178</v>
      </c>
      <c r="D18" s="14">
        <v>4</v>
      </c>
    </row>
    <row r="19" spans="1:8" x14ac:dyDescent="0.25">
      <c r="A19" s="11" t="s">
        <v>51</v>
      </c>
      <c r="B19" s="12">
        <v>2</v>
      </c>
      <c r="C19" s="11" t="s">
        <v>173</v>
      </c>
      <c r="D19" s="11">
        <v>5</v>
      </c>
    </row>
    <row r="20" spans="1:8" x14ac:dyDescent="0.25">
      <c r="A20" s="14" t="s">
        <v>25</v>
      </c>
      <c r="B20" s="15">
        <v>2</v>
      </c>
      <c r="C20" s="14" t="s">
        <v>173</v>
      </c>
      <c r="D20" s="14">
        <v>6</v>
      </c>
    </row>
    <row r="21" spans="1:8" x14ac:dyDescent="0.25">
      <c r="A21" s="11" t="s">
        <v>74</v>
      </c>
      <c r="B21" s="12">
        <v>1</v>
      </c>
      <c r="C21" s="11" t="s">
        <v>179</v>
      </c>
      <c r="D21" s="11">
        <v>7</v>
      </c>
    </row>
    <row r="22" spans="1:8" x14ac:dyDescent="0.25">
      <c r="A22" s="14" t="s">
        <v>124</v>
      </c>
      <c r="B22" s="15">
        <v>1</v>
      </c>
      <c r="C22" s="14" t="s">
        <v>179</v>
      </c>
      <c r="D22" s="14">
        <v>8</v>
      </c>
    </row>
    <row r="23" spans="1:8" x14ac:dyDescent="0.25">
      <c r="A23" s="11" t="s">
        <v>145</v>
      </c>
      <c r="B23" s="12">
        <v>1</v>
      </c>
      <c r="C23" s="11" t="s">
        <v>179</v>
      </c>
      <c r="D23" s="11">
        <v>9</v>
      </c>
    </row>
    <row r="24" spans="1:8" x14ac:dyDescent="0.25">
      <c r="A24" s="14" t="s">
        <v>68</v>
      </c>
      <c r="B24" s="15">
        <v>1</v>
      </c>
      <c r="C24" s="14" t="s">
        <v>179</v>
      </c>
      <c r="D24" s="14">
        <v>10</v>
      </c>
    </row>
    <row r="25" spans="1:8" x14ac:dyDescent="0.25">
      <c r="A25" s="11" t="s">
        <v>114</v>
      </c>
      <c r="B25" s="12">
        <v>1</v>
      </c>
      <c r="C25" s="11" t="s">
        <v>179</v>
      </c>
      <c r="D25" s="11">
        <v>11</v>
      </c>
    </row>
    <row r="26" spans="1:8" x14ac:dyDescent="0.25">
      <c r="A26" s="14" t="s">
        <v>57</v>
      </c>
      <c r="B26" s="15">
        <v>1</v>
      </c>
      <c r="C26" s="14" t="s">
        <v>179</v>
      </c>
      <c r="D26" s="14">
        <v>12</v>
      </c>
    </row>
    <row r="27" spans="1:8" x14ac:dyDescent="0.25">
      <c r="A27" s="11" t="s">
        <v>38</v>
      </c>
      <c r="B27" s="12">
        <v>1</v>
      </c>
      <c r="C27" s="11" t="s">
        <v>179</v>
      </c>
      <c r="D27" s="11">
        <v>13</v>
      </c>
    </row>
    <row r="28" spans="1:8" x14ac:dyDescent="0.25">
      <c r="A28" s="14" t="s">
        <v>32</v>
      </c>
      <c r="B28" s="15">
        <v>1</v>
      </c>
      <c r="C28" s="14" t="s">
        <v>179</v>
      </c>
      <c r="D28" s="14">
        <v>14</v>
      </c>
    </row>
    <row r="31" spans="1:8" ht="15" customHeight="1" x14ac:dyDescent="0.25">
      <c r="A31" s="3" t="s">
        <v>180</v>
      </c>
      <c r="B31" s="3"/>
      <c r="C31" s="3"/>
      <c r="D31" s="3"/>
      <c r="E31" s="3"/>
      <c r="F31" s="3"/>
      <c r="G31" s="3"/>
      <c r="H31" s="3"/>
    </row>
    <row r="32" spans="1:8" ht="25.5" x14ac:dyDescent="0.25">
      <c r="A32" s="10" t="s">
        <v>8</v>
      </c>
      <c r="B32" s="10" t="s">
        <v>15</v>
      </c>
      <c r="C32" s="10" t="s">
        <v>49</v>
      </c>
      <c r="D32" s="10" t="s">
        <v>30</v>
      </c>
      <c r="E32" s="10" t="s">
        <v>72</v>
      </c>
      <c r="F32" s="10" t="s">
        <v>23</v>
      </c>
      <c r="G32" s="10" t="s">
        <v>174</v>
      </c>
    </row>
    <row r="33" spans="1:7" x14ac:dyDescent="0.25">
      <c r="A33" s="19" t="s">
        <v>25</v>
      </c>
      <c r="B33" s="11" t="s">
        <v>181</v>
      </c>
      <c r="C33" s="12">
        <v>1</v>
      </c>
      <c r="D33" s="11" t="s">
        <v>181</v>
      </c>
      <c r="E33" s="11" t="s">
        <v>181</v>
      </c>
      <c r="F33" s="12">
        <v>1</v>
      </c>
      <c r="G33" s="20">
        <v>2</v>
      </c>
    </row>
    <row r="34" spans="1:7" x14ac:dyDescent="0.25">
      <c r="A34" s="21" t="s">
        <v>16</v>
      </c>
      <c r="B34" s="15">
        <v>2</v>
      </c>
      <c r="C34" s="15">
        <v>1</v>
      </c>
      <c r="D34" s="15">
        <v>1</v>
      </c>
      <c r="E34" s="14" t="s">
        <v>181</v>
      </c>
      <c r="F34" s="14" t="s">
        <v>181</v>
      </c>
      <c r="G34" s="20">
        <v>4</v>
      </c>
    </row>
    <row r="35" spans="1:7" x14ac:dyDescent="0.25">
      <c r="A35" s="19" t="s">
        <v>124</v>
      </c>
      <c r="B35" s="11" t="s">
        <v>181</v>
      </c>
      <c r="C35" s="12">
        <v>1</v>
      </c>
      <c r="D35" s="11" t="s">
        <v>181</v>
      </c>
      <c r="E35" s="11" t="s">
        <v>181</v>
      </c>
      <c r="F35" s="11" t="s">
        <v>181</v>
      </c>
      <c r="G35" s="20">
        <v>1</v>
      </c>
    </row>
    <row r="36" spans="1:7" x14ac:dyDescent="0.25">
      <c r="A36" s="21" t="s">
        <v>44</v>
      </c>
      <c r="B36" s="15">
        <v>1</v>
      </c>
      <c r="C36" s="15">
        <v>1</v>
      </c>
      <c r="D36" s="14" t="s">
        <v>181</v>
      </c>
      <c r="E36" s="14" t="s">
        <v>181</v>
      </c>
      <c r="F36" s="15">
        <v>2</v>
      </c>
      <c r="G36" s="20">
        <v>4</v>
      </c>
    </row>
    <row r="37" spans="1:7" x14ac:dyDescent="0.25">
      <c r="A37" s="19" t="s">
        <v>74</v>
      </c>
      <c r="B37" s="11" t="s">
        <v>181</v>
      </c>
      <c r="C37" s="11" t="s">
        <v>181</v>
      </c>
      <c r="D37" s="11" t="s">
        <v>181</v>
      </c>
      <c r="E37" s="12">
        <v>1</v>
      </c>
      <c r="F37" s="11" t="s">
        <v>181</v>
      </c>
      <c r="G37" s="20">
        <v>1</v>
      </c>
    </row>
    <row r="38" spans="1:7" x14ac:dyDescent="0.25">
      <c r="A38" s="21" t="s">
        <v>79</v>
      </c>
      <c r="B38" s="14" t="s">
        <v>181</v>
      </c>
      <c r="C38" s="15">
        <v>1</v>
      </c>
      <c r="D38" s="15">
        <v>2</v>
      </c>
      <c r="E38" s="15">
        <v>1</v>
      </c>
      <c r="F38" s="14" t="s">
        <v>181</v>
      </c>
      <c r="G38" s="20">
        <v>4</v>
      </c>
    </row>
    <row r="39" spans="1:7" x14ac:dyDescent="0.25">
      <c r="A39" s="19" t="s">
        <v>68</v>
      </c>
      <c r="B39" s="11" t="s">
        <v>181</v>
      </c>
      <c r="C39" s="12">
        <v>1</v>
      </c>
      <c r="D39" s="11" t="s">
        <v>181</v>
      </c>
      <c r="E39" s="11" t="s">
        <v>181</v>
      </c>
      <c r="F39" s="11" t="s">
        <v>181</v>
      </c>
      <c r="G39" s="20">
        <v>1</v>
      </c>
    </row>
    <row r="40" spans="1:7" x14ac:dyDescent="0.25">
      <c r="A40" s="21" t="s">
        <v>145</v>
      </c>
      <c r="B40" s="14" t="s">
        <v>181</v>
      </c>
      <c r="C40" s="15">
        <v>1</v>
      </c>
      <c r="D40" s="14" t="s">
        <v>181</v>
      </c>
      <c r="E40" s="14" t="s">
        <v>181</v>
      </c>
      <c r="F40" s="14" t="s">
        <v>181</v>
      </c>
      <c r="G40" s="20">
        <v>1</v>
      </c>
    </row>
    <row r="41" spans="1:7" x14ac:dyDescent="0.25">
      <c r="A41" s="19" t="s">
        <v>105</v>
      </c>
      <c r="B41" s="12">
        <v>2</v>
      </c>
      <c r="C41" s="12">
        <v>1</v>
      </c>
      <c r="D41" s="11" t="s">
        <v>181</v>
      </c>
      <c r="E41" s="11" t="s">
        <v>181</v>
      </c>
      <c r="F41" s="12">
        <v>1</v>
      </c>
      <c r="G41" s="20">
        <v>4</v>
      </c>
    </row>
    <row r="42" spans="1:7" x14ac:dyDescent="0.25">
      <c r="A42" s="21" t="s">
        <v>51</v>
      </c>
      <c r="B42" s="14" t="s">
        <v>181</v>
      </c>
      <c r="C42" s="15">
        <v>1</v>
      </c>
      <c r="D42" s="15">
        <v>1</v>
      </c>
      <c r="E42" s="14" t="s">
        <v>181</v>
      </c>
      <c r="F42" s="14" t="s">
        <v>181</v>
      </c>
      <c r="G42" s="20">
        <v>2</v>
      </c>
    </row>
    <row r="43" spans="1:7" x14ac:dyDescent="0.25">
      <c r="A43" s="19" t="s">
        <v>114</v>
      </c>
      <c r="B43" s="11" t="s">
        <v>181</v>
      </c>
      <c r="C43" s="11" t="s">
        <v>181</v>
      </c>
      <c r="D43" s="11" t="s">
        <v>181</v>
      </c>
      <c r="E43" s="11" t="s">
        <v>181</v>
      </c>
      <c r="F43" s="12">
        <v>1</v>
      </c>
      <c r="G43" s="20">
        <v>1</v>
      </c>
    </row>
    <row r="44" spans="1:7" x14ac:dyDescent="0.25">
      <c r="A44" s="21" t="s">
        <v>57</v>
      </c>
      <c r="B44" s="14" t="s">
        <v>181</v>
      </c>
      <c r="C44" s="15">
        <v>1</v>
      </c>
      <c r="D44" s="14" t="s">
        <v>181</v>
      </c>
      <c r="E44" s="14" t="s">
        <v>181</v>
      </c>
      <c r="F44" s="14" t="s">
        <v>181</v>
      </c>
      <c r="G44" s="20">
        <v>1</v>
      </c>
    </row>
    <row r="45" spans="1:7" x14ac:dyDescent="0.25">
      <c r="A45" s="19" t="s">
        <v>38</v>
      </c>
      <c r="B45" s="11" t="s">
        <v>181</v>
      </c>
      <c r="C45" s="11" t="s">
        <v>181</v>
      </c>
      <c r="D45" s="12">
        <v>1</v>
      </c>
      <c r="E45" s="11" t="s">
        <v>181</v>
      </c>
      <c r="F45" s="11" t="s">
        <v>181</v>
      </c>
      <c r="G45" s="20">
        <v>1</v>
      </c>
    </row>
    <row r="46" spans="1:7" x14ac:dyDescent="0.25">
      <c r="A46" s="21" t="s">
        <v>32</v>
      </c>
      <c r="B46" s="14" t="s">
        <v>181</v>
      </c>
      <c r="C46" s="14" t="s">
        <v>181</v>
      </c>
      <c r="D46" s="15">
        <v>1</v>
      </c>
      <c r="E46" s="14" t="s">
        <v>181</v>
      </c>
      <c r="F46" s="14" t="s">
        <v>181</v>
      </c>
      <c r="G46" s="20">
        <v>1</v>
      </c>
    </row>
  </sheetData>
  <mergeCells count="4">
    <mergeCell ref="A1:H1"/>
    <mergeCell ref="A3:D3"/>
    <mergeCell ref="A13:D13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Normal="100" workbookViewId="0">
      <selection sqref="A1:F1"/>
    </sheetView>
  </sheetViews>
  <sheetFormatPr defaultColWidth="8.7109375" defaultRowHeight="15" x14ac:dyDescent="0.25"/>
  <cols>
    <col min="1" max="1" width="26" customWidth="1"/>
    <col min="2" max="2" width="10" customWidth="1"/>
    <col min="8" max="8" width="20" customWidth="1"/>
    <col min="9" max="9" width="10" customWidth="1"/>
  </cols>
  <sheetData>
    <row r="1" spans="1:9" ht="31.5" customHeight="1" x14ac:dyDescent="0.25">
      <c r="A1" s="4" t="s">
        <v>182</v>
      </c>
      <c r="B1" s="4"/>
      <c r="C1" s="4"/>
      <c r="D1" s="4"/>
      <c r="E1" s="4"/>
      <c r="F1" s="4"/>
    </row>
    <row r="3" spans="1:9" x14ac:dyDescent="0.25">
      <c r="A3" s="5" t="s">
        <v>183</v>
      </c>
      <c r="B3" s="5" t="s">
        <v>184</v>
      </c>
      <c r="H3" s="5" t="s">
        <v>8</v>
      </c>
      <c r="I3" s="5" t="s">
        <v>184</v>
      </c>
    </row>
    <row r="4" spans="1:9" x14ac:dyDescent="0.25">
      <c r="A4" s="22" t="s">
        <v>15</v>
      </c>
      <c r="B4" s="22">
        <v>5</v>
      </c>
      <c r="H4" s="22" t="s">
        <v>25</v>
      </c>
      <c r="I4" s="22">
        <v>2</v>
      </c>
    </row>
    <row r="5" spans="1:9" x14ac:dyDescent="0.25">
      <c r="A5" s="22" t="s">
        <v>49</v>
      </c>
      <c r="B5" s="22">
        <v>10</v>
      </c>
      <c r="H5" s="22" t="s">
        <v>16</v>
      </c>
      <c r="I5" s="22">
        <v>4</v>
      </c>
    </row>
    <row r="6" spans="1:9" x14ac:dyDescent="0.25">
      <c r="A6" s="22" t="s">
        <v>30</v>
      </c>
      <c r="B6" s="22">
        <v>6</v>
      </c>
      <c r="H6" s="22" t="s">
        <v>124</v>
      </c>
      <c r="I6" s="22">
        <v>1</v>
      </c>
    </row>
    <row r="7" spans="1:9" x14ac:dyDescent="0.25">
      <c r="A7" s="22" t="s">
        <v>72</v>
      </c>
      <c r="B7" s="22">
        <v>2</v>
      </c>
      <c r="H7" s="22" t="s">
        <v>44</v>
      </c>
      <c r="I7" s="22">
        <v>4</v>
      </c>
    </row>
    <row r="8" spans="1:9" x14ac:dyDescent="0.25">
      <c r="A8" s="22" t="s">
        <v>23</v>
      </c>
      <c r="B8" s="22">
        <v>5</v>
      </c>
      <c r="H8" s="22" t="s">
        <v>74</v>
      </c>
      <c r="I8" s="22">
        <v>1</v>
      </c>
    </row>
    <row r="9" spans="1:9" x14ac:dyDescent="0.25">
      <c r="H9" s="22" t="s">
        <v>79</v>
      </c>
      <c r="I9" s="22">
        <v>4</v>
      </c>
    </row>
    <row r="10" spans="1:9" x14ac:dyDescent="0.25">
      <c r="H10" s="22" t="s">
        <v>68</v>
      </c>
      <c r="I10" s="22">
        <v>1</v>
      </c>
    </row>
    <row r="11" spans="1:9" x14ac:dyDescent="0.25">
      <c r="H11" s="22" t="s">
        <v>145</v>
      </c>
      <c r="I11" s="22">
        <v>1</v>
      </c>
    </row>
    <row r="12" spans="1:9" x14ac:dyDescent="0.25">
      <c r="H12" s="22" t="s">
        <v>105</v>
      </c>
      <c r="I12" s="22">
        <v>4</v>
      </c>
    </row>
    <row r="13" spans="1:9" x14ac:dyDescent="0.25">
      <c r="H13" s="22" t="s">
        <v>51</v>
      </c>
      <c r="I13" s="22">
        <v>2</v>
      </c>
    </row>
    <row r="14" spans="1:9" x14ac:dyDescent="0.25">
      <c r="H14" s="22" t="s">
        <v>114</v>
      </c>
      <c r="I14" s="22">
        <v>1</v>
      </c>
    </row>
    <row r="15" spans="1:9" x14ac:dyDescent="0.25">
      <c r="H15" s="22" t="s">
        <v>57</v>
      </c>
      <c r="I15" s="22">
        <v>1</v>
      </c>
    </row>
    <row r="16" spans="1:9" x14ac:dyDescent="0.25">
      <c r="H16" s="22" t="s">
        <v>38</v>
      </c>
      <c r="I16" s="22">
        <v>1</v>
      </c>
    </row>
    <row r="17" spans="8:9" x14ac:dyDescent="0.25">
      <c r="H17" s="22" t="s">
        <v>32</v>
      </c>
      <c r="I17" s="22">
        <v>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zoomScaleNormal="100" workbookViewId="0">
      <selection sqref="A1:J1"/>
    </sheetView>
  </sheetViews>
  <sheetFormatPr defaultColWidth="8.7109375" defaultRowHeight="15" x14ac:dyDescent="0.25"/>
  <cols>
    <col min="1" max="8" width="16" customWidth="1"/>
  </cols>
  <sheetData>
    <row r="1" spans="1:10" ht="39.75" customHeight="1" x14ac:dyDescent="0.25">
      <c r="A1" s="2" t="s">
        <v>185</v>
      </c>
      <c r="B1" s="2"/>
      <c r="C1" s="2"/>
      <c r="D1" s="2"/>
      <c r="E1" s="2"/>
      <c r="F1" s="2"/>
      <c r="G1" s="2"/>
      <c r="H1" s="2"/>
      <c r="I1" s="2"/>
      <c r="J1" s="2"/>
    </row>
    <row r="3" spans="1:10" ht="27.75" customHeight="1" x14ac:dyDescent="0.25">
      <c r="A3" s="23" t="s">
        <v>186</v>
      </c>
      <c r="B3" s="24" t="s">
        <v>187</v>
      </c>
      <c r="C3" s="25" t="s">
        <v>188</v>
      </c>
      <c r="D3" s="26" t="s">
        <v>189</v>
      </c>
      <c r="E3" s="27" t="s">
        <v>149</v>
      </c>
      <c r="F3" s="28" t="s">
        <v>23</v>
      </c>
      <c r="G3" s="23" t="s">
        <v>190</v>
      </c>
      <c r="H3" s="29" t="s">
        <v>9</v>
      </c>
    </row>
    <row r="4" spans="1:10" ht="48" customHeight="1" x14ac:dyDescent="0.25">
      <c r="A4" s="30" t="s">
        <v>191</v>
      </c>
      <c r="B4" s="31" t="s">
        <v>192</v>
      </c>
      <c r="C4" s="32" t="s">
        <v>193</v>
      </c>
      <c r="D4" s="33" t="s">
        <v>194</v>
      </c>
      <c r="E4" s="34" t="s">
        <v>195</v>
      </c>
      <c r="F4" s="35" t="s">
        <v>192</v>
      </c>
      <c r="G4" s="30" t="s">
        <v>196</v>
      </c>
      <c r="H4" s="36" t="s">
        <v>197</v>
      </c>
    </row>
    <row r="5" spans="1:10" ht="27.75" customHeight="1" x14ac:dyDescent="0.25"/>
    <row r="7" spans="1:10" x14ac:dyDescent="0.25">
      <c r="A7" s="1" t="s">
        <v>198</v>
      </c>
      <c r="B7" s="1"/>
      <c r="C7" s="1"/>
      <c r="D7" s="1"/>
      <c r="E7" s="1"/>
      <c r="F7" s="1"/>
      <c r="G7" s="1"/>
      <c r="H7" s="1"/>
      <c r="I7" s="1"/>
      <c r="J7" s="1"/>
    </row>
  </sheetData>
  <mergeCells count="2">
    <mergeCell ref="A1:J1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Pivot Summary</vt:lpstr>
      <vt:lpstr>Charts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919650828882</cp:lastModifiedBy>
  <cp:revision>1</cp:revision>
  <dcterms:created xsi:type="dcterms:W3CDTF">2026-05-20T04:55:59Z</dcterms:created>
  <dcterms:modified xsi:type="dcterms:W3CDTF">2026-05-20T05:36:00Z</dcterms:modified>
  <dc:language>en-US</dc:language>
</cp:coreProperties>
</file>